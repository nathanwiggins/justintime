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nathanwiggins/Downloads/Just In Time/NSF_1_YEAR/"/>
    </mc:Choice>
  </mc:AlternateContent>
  <xr:revisionPtr revIDLastSave="0" documentId="8_{2BAB754D-3294-6E47-A654-2E7799F5B854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Year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30" i="2"/>
  <c r="B26" i="2"/>
  <c r="B22" i="2"/>
  <c r="B12" i="2"/>
  <c r="B13" i="2"/>
  <c r="B5" i="2"/>
  <c r="B18" i="2"/>
  <c r="B9" i="2"/>
  <c r="B14" i="2" l="1"/>
  <c r="B34" i="2" s="1"/>
  <c r="B32" i="2" l="1"/>
  <c r="B36" i="2" s="1"/>
</calcChain>
</file>

<file path=xl/sharedStrings.xml><?xml version="1.0" encoding="utf-8"?>
<sst xmlns="http://schemas.openxmlformats.org/spreadsheetml/2006/main" count="30" uniqueCount="30">
  <si>
    <t>A. Senior Personnel</t>
  </si>
  <si>
    <t>B. Other Personnel</t>
  </si>
  <si>
    <t>C. Fringe Benefits</t>
  </si>
  <si>
    <t>D. Equipment</t>
  </si>
  <si>
    <t>E. Travel</t>
  </si>
  <si>
    <t>F. Participant Support Costs</t>
  </si>
  <si>
    <t>G. Other Direct Costs</t>
  </si>
  <si>
    <t>NSF Budget Category</t>
  </si>
  <si>
    <t>Year 1 Requested Amount</t>
  </si>
  <si>
    <t>Notes</t>
  </si>
  <si>
    <t>Total A</t>
  </si>
  <si>
    <t>Total B</t>
  </si>
  <si>
    <t>Total C</t>
  </si>
  <si>
    <t>Total D</t>
  </si>
  <si>
    <t>Total E</t>
  </si>
  <si>
    <t>Total F</t>
  </si>
  <si>
    <t>Total G</t>
  </si>
  <si>
    <t>H. Total Direct Costs (A through G)</t>
  </si>
  <si>
    <t>J. Total Direct and Indirect Costs (H + I)</t>
  </si>
  <si>
    <t xml:space="preserve">   A.1 PI: Banister Bacon (1 mo summer) ($108,000 IBS)</t>
  </si>
  <si>
    <t xml:space="preserve">   C.1 PI Fringe Benefits</t>
  </si>
  <si>
    <t xml:space="preserve">   C.1 Data Scientist Fringe Benefits</t>
  </si>
  <si>
    <t>25% + $16,900 prorated for medical</t>
  </si>
  <si>
    <t>25% of salary</t>
  </si>
  <si>
    <t xml:space="preserve">   D.1 Uranium Paint Enricher</t>
  </si>
  <si>
    <t xml:space="preserve">   A.2 Data Scientist: Than Wiggins (12 mo calendar) ($70,000 IBS)</t>
  </si>
  <si>
    <t>BEARUranium 7UY-8JS, price obtained from vendor bidding process initiated by purchasing department</t>
  </si>
  <si>
    <t xml:space="preserve">   G.3 Consultant</t>
  </si>
  <si>
    <t>I. Indirect Costs (F&amp;A @ 24% SWB)</t>
  </si>
  <si>
    <t>Pynk Panthyr, uranium evaluation expert, $400 per day, 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</si>
</sst>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555555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D3D3D3"/>
        <bgColor rgb="FFD3D3D3"/>
      </patternFill>
    </fill>
    <fill>
      <patternFill patternType="solid">
        <fgColor rgb="FFE0FFFF"/>
        <bgColor rgb="FFE0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0" borderId="1" xfId="0" applyFon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4" fillId="0" borderId="1" xfId="0" applyFont="1" applyBorder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5" fillId="0" borderId="1" xfId="0" applyFont="1" applyBorder="1"/>
    <xf numFmtId="9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tabSelected="1" workbookViewId="0">
      <pane ySplit="1" topLeftCell="A2" activePane="bottomLeft" state="frozen"/>
      <selection pane="bottomLeft" activeCell="C30" sqref="C30"/>
    </sheetView>
  </sheetViews>
  <sheetFormatPr baseColWidth="10" defaultColWidth="8.83203125" defaultRowHeight="15" x14ac:dyDescent="0.2"/>
  <cols>
    <col min="1" max="1" width="51.33203125" bestFit="1" customWidth="1"/>
    <col min="2" max="2" width="25" customWidth="1"/>
    <col min="3" max="3" width="30" customWidth="1"/>
    <col min="4" max="4" width="11.1640625" bestFit="1" customWidth="1"/>
  </cols>
  <sheetData>
    <row r="1" spans="1:3" ht="16" x14ac:dyDescent="0.2">
      <c r="A1" s="1" t="s">
        <v>7</v>
      </c>
      <c r="B1" s="1" t="s">
        <v>8</v>
      </c>
      <c r="C1" s="1" t="s">
        <v>9</v>
      </c>
    </row>
    <row r="2" spans="1:3" x14ac:dyDescent="0.2">
      <c r="A2" s="10" t="s">
        <v>0</v>
      </c>
      <c r="B2" s="11"/>
      <c r="C2" s="11"/>
    </row>
    <row r="3" spans="1:3" x14ac:dyDescent="0.2">
      <c r="A3" s="16" t="s">
        <v>19</v>
      </c>
      <c r="B3" s="3">
        <v>12000</v>
      </c>
      <c r="C3" s="12"/>
    </row>
    <row r="4" spans="1:3" x14ac:dyDescent="0.2">
      <c r="A4" s="2" t="s">
        <v>25</v>
      </c>
      <c r="B4" s="3">
        <v>70000</v>
      </c>
      <c r="C4" s="12"/>
    </row>
    <row r="5" spans="1:3" x14ac:dyDescent="0.2">
      <c r="A5" s="7" t="s">
        <v>10</v>
      </c>
      <c r="B5" s="4">
        <f>SUM(B3:B4)</f>
        <v>82000</v>
      </c>
      <c r="C5" s="13"/>
    </row>
    <row r="7" spans="1:3" x14ac:dyDescent="0.2">
      <c r="A7" s="10" t="s">
        <v>1</v>
      </c>
      <c r="B7" s="11"/>
      <c r="C7" s="11"/>
    </row>
    <row r="8" spans="1:3" x14ac:dyDescent="0.2">
      <c r="A8" s="2"/>
      <c r="B8" s="3"/>
      <c r="C8" s="12"/>
    </row>
    <row r="9" spans="1:3" x14ac:dyDescent="0.2">
      <c r="A9" s="7" t="s">
        <v>11</v>
      </c>
      <c r="B9" s="4">
        <f>SUM(B8:B8)</f>
        <v>0</v>
      </c>
      <c r="C9" s="13"/>
    </row>
    <row r="11" spans="1:3" x14ac:dyDescent="0.2">
      <c r="A11" s="10" t="s">
        <v>2</v>
      </c>
      <c r="B11" s="11"/>
      <c r="C11" s="11"/>
    </row>
    <row r="12" spans="1:3" x14ac:dyDescent="0.2">
      <c r="A12" s="2" t="s">
        <v>20</v>
      </c>
      <c r="B12" s="3">
        <f>0.25*B3</f>
        <v>3000</v>
      </c>
      <c r="C12" s="17" t="s">
        <v>23</v>
      </c>
    </row>
    <row r="13" spans="1:3" x14ac:dyDescent="0.2">
      <c r="A13" s="2" t="s">
        <v>21</v>
      </c>
      <c r="B13" s="3">
        <f>0.25*B4+16900</f>
        <v>34400</v>
      </c>
      <c r="C13" s="13" t="s">
        <v>22</v>
      </c>
    </row>
    <row r="14" spans="1:3" x14ac:dyDescent="0.2">
      <c r="A14" s="7" t="s">
        <v>12</v>
      </c>
      <c r="B14" s="4">
        <f>SUM(B12:B13)</f>
        <v>37400</v>
      </c>
      <c r="C14" s="13"/>
    </row>
    <row r="16" spans="1:3" x14ac:dyDescent="0.2">
      <c r="A16" s="10" t="s">
        <v>3</v>
      </c>
      <c r="B16" s="11"/>
      <c r="C16" s="11"/>
    </row>
    <row r="17" spans="1:3" x14ac:dyDescent="0.2">
      <c r="A17" s="2" t="s">
        <v>24</v>
      </c>
      <c r="B17" s="3">
        <v>15000</v>
      </c>
      <c r="C17" s="12" t="s">
        <v>26</v>
      </c>
    </row>
    <row r="18" spans="1:3" x14ac:dyDescent="0.2">
      <c r="A18" s="7" t="s">
        <v>13</v>
      </c>
      <c r="B18" s="4">
        <f>SUM(B17:B17)</f>
        <v>15000</v>
      </c>
      <c r="C18" s="13"/>
    </row>
    <row r="20" spans="1:3" x14ac:dyDescent="0.2">
      <c r="A20" s="10" t="s">
        <v>4</v>
      </c>
      <c r="B20" s="11"/>
      <c r="C20" s="11"/>
    </row>
    <row r="21" spans="1:3" x14ac:dyDescent="0.2">
      <c r="A21" s="2"/>
      <c r="B21" s="3"/>
      <c r="C21" s="13"/>
    </row>
    <row r="22" spans="1:3" x14ac:dyDescent="0.2">
      <c r="A22" s="7" t="s">
        <v>14</v>
      </c>
      <c r="B22" s="4">
        <f>SUM(B21:B21)</f>
        <v>0</v>
      </c>
      <c r="C22" s="13"/>
    </row>
    <row r="24" spans="1:3" x14ac:dyDescent="0.2">
      <c r="A24" s="10" t="s">
        <v>5</v>
      </c>
      <c r="B24" s="11"/>
      <c r="C24" s="11"/>
    </row>
    <row r="25" spans="1:3" x14ac:dyDescent="0.2">
      <c r="A25" s="2"/>
      <c r="B25" s="3"/>
      <c r="C25" s="13"/>
    </row>
    <row r="26" spans="1:3" x14ac:dyDescent="0.2">
      <c r="A26" s="7" t="s">
        <v>15</v>
      </c>
      <c r="B26" s="4">
        <f>SUM(B25:B25)</f>
        <v>0</v>
      </c>
      <c r="C26" s="13"/>
    </row>
    <row r="28" spans="1:3" x14ac:dyDescent="0.2">
      <c r="A28" s="10" t="s">
        <v>6</v>
      </c>
      <c r="B28" s="11"/>
      <c r="C28" s="11"/>
    </row>
    <row r="29" spans="1:3" x14ac:dyDescent="0.2">
      <c r="A29" s="2" t="s">
        <v>27</v>
      </c>
      <c r="B29" s="3">
        <f>400*30</f>
        <v>12000</v>
      </c>
      <c r="C29" s="13" t="s">
        <v>29</v>
      </c>
    </row>
    <row r="30" spans="1:3" x14ac:dyDescent="0.2">
      <c r="A30" s="7" t="s">
        <v>16</v>
      </c>
      <c r="B30" s="4">
        <f>SUM(B29:B29)</f>
        <v>12000</v>
      </c>
      <c r="C30" s="13"/>
    </row>
    <row r="32" spans="1:3" x14ac:dyDescent="0.2">
      <c r="A32" s="5" t="s">
        <v>17</v>
      </c>
      <c r="B32" s="6">
        <f>B5+B9+B14+B18+B22+B26+B30</f>
        <v>146400</v>
      </c>
      <c r="C32" s="14"/>
    </row>
    <row r="34" spans="1:4" x14ac:dyDescent="0.2">
      <c r="A34" s="7" t="s">
        <v>28</v>
      </c>
      <c r="B34" s="4">
        <f>(B5+B9+B14)*0.24</f>
        <v>28656</v>
      </c>
      <c r="C34" s="12"/>
      <c r="D34" s="18"/>
    </row>
    <row r="36" spans="1:4" ht="16" x14ac:dyDescent="0.2">
      <c r="A36" s="8" t="s">
        <v>18</v>
      </c>
      <c r="B36" s="9">
        <f>B32+B34</f>
        <v>175056</v>
      </c>
      <c r="C36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Wiggins</cp:lastModifiedBy>
  <dcterms:created xsi:type="dcterms:W3CDTF">2026-06-02T17:29:37Z</dcterms:created>
  <dcterms:modified xsi:type="dcterms:W3CDTF">2026-07-30T22:52:52Z</dcterms:modified>
</cp:coreProperties>
</file>