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athanwiggins/Downloads/"/>
    </mc:Choice>
  </mc:AlternateContent>
  <xr:revisionPtr revIDLastSave="0" documentId="13_ncr:1_{601BDAD9-DBC9-844E-B729-255FF4F42DD5}" xr6:coauthVersionLast="47" xr6:coauthVersionMax="47" xr10:uidLastSave="{00000000-0000-0000-0000-000000000000}"/>
  <bookViews>
    <workbookView xWindow="-43800" yWindow="-8780" windowWidth="25600" windowHeight="16040" activeTab="1" xr2:uid="{00000000-000D-0000-FFFF-FFFF00000000}"/>
  </bookViews>
  <sheets>
    <sheet name="Cumulative Budget" sheetId="1" r:id="rId1"/>
    <sheet name="Year 1" sheetId="2" r:id="rId2"/>
    <sheet name="Year 2" sheetId="3" r:id="rId3"/>
    <sheet name="Year 3" sheetId="4" r:id="rId4"/>
    <sheet name="Year 4" sheetId="5" r:id="rId5"/>
    <sheet name="Year 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/>
  <c r="B34" i="2"/>
  <c r="B8" i="1" s="1"/>
  <c r="B38" i="2"/>
  <c r="B12" i="1" s="1"/>
  <c r="B38" i="3"/>
  <c r="C12" i="1" s="1"/>
  <c r="B38" i="4"/>
  <c r="B38" i="5"/>
  <c r="E12" i="1" s="1"/>
  <c r="B39" i="6"/>
  <c r="F12" i="1" s="1"/>
  <c r="B29" i="5"/>
  <c r="B29" i="4"/>
  <c r="B29" i="3"/>
  <c r="B30" i="3" s="1"/>
  <c r="C7" i="1" s="1"/>
  <c r="B29" i="2"/>
  <c r="B30" i="2" s="1"/>
  <c r="B7" i="1" s="1"/>
  <c r="B25" i="5"/>
  <c r="B26" i="5" s="1"/>
  <c r="E6" i="1" s="1"/>
  <c r="B25" i="3"/>
  <c r="B26" i="3" s="1"/>
  <c r="C6" i="1" s="1"/>
  <c r="B24" i="2"/>
  <c r="B26" i="2" s="1"/>
  <c r="B6" i="1" s="1"/>
  <c r="B8" i="3"/>
  <c r="B8" i="4" s="1"/>
  <c r="B13" i="6"/>
  <c r="B13" i="5"/>
  <c r="B13" i="4"/>
  <c r="B13" i="3"/>
  <c r="B13" i="2"/>
  <c r="B16" i="6"/>
  <c r="B16" i="5"/>
  <c r="B16" i="4"/>
  <c r="B16" i="3"/>
  <c r="B15" i="3"/>
  <c r="B16" i="2"/>
  <c r="B15" i="2"/>
  <c r="B14" i="2"/>
  <c r="B4" i="3"/>
  <c r="B4" i="4" s="1"/>
  <c r="B4" i="5" s="1"/>
  <c r="B14" i="5" s="1"/>
  <c r="B5" i="2"/>
  <c r="D12" i="1"/>
  <c r="B35" i="6"/>
  <c r="F8" i="1" s="1"/>
  <c r="B30" i="6"/>
  <c r="F7" i="1" s="1"/>
  <c r="B26" i="6"/>
  <c r="F6" i="1" s="1"/>
  <c r="B21" i="6"/>
  <c r="F5" i="1" s="1"/>
  <c r="B34" i="5"/>
  <c r="E8" i="1" s="1"/>
  <c r="B30" i="5"/>
  <c r="E7" i="1" s="1"/>
  <c r="B21" i="5"/>
  <c r="E5" i="1" s="1"/>
  <c r="B34" i="4"/>
  <c r="D8" i="1" s="1"/>
  <c r="B30" i="4"/>
  <c r="D7" i="1" s="1"/>
  <c r="B26" i="4"/>
  <c r="D6" i="1" s="1"/>
  <c r="B21" i="4"/>
  <c r="D5" i="1" s="1"/>
  <c r="B34" i="3"/>
  <c r="C8" i="1" s="1"/>
  <c r="B21" i="3"/>
  <c r="C5" i="1" s="1"/>
  <c r="B10" i="3"/>
  <c r="C3" i="1" s="1"/>
  <c r="B21" i="2"/>
  <c r="B5" i="1" s="1"/>
  <c r="B10" i="2"/>
  <c r="B3" i="1" s="1"/>
  <c r="B8" i="5" l="1"/>
  <c r="B10" i="4"/>
  <c r="D3" i="1" s="1"/>
  <c r="B15" i="4"/>
  <c r="B14" i="4"/>
  <c r="B14" i="3"/>
  <c r="B17" i="3" s="1"/>
  <c r="C4" i="1" s="1"/>
  <c r="G12" i="1"/>
  <c r="B17" i="2"/>
  <c r="B4" i="1" s="1"/>
  <c r="B5" i="3"/>
  <c r="B5" i="5"/>
  <c r="B4" i="6"/>
  <c r="B5" i="4"/>
  <c r="D2" i="1" s="1"/>
  <c r="B36" i="2"/>
  <c r="B40" i="2" s="1"/>
  <c r="G8" i="1"/>
  <c r="G7" i="1"/>
  <c r="B2" i="1"/>
  <c r="G5" i="1"/>
  <c r="G6" i="1"/>
  <c r="B5" i="6" l="1"/>
  <c r="B14" i="6"/>
  <c r="B17" i="4"/>
  <c r="D4" i="1" s="1"/>
  <c r="B10" i="1"/>
  <c r="D14" i="1" s="1"/>
  <c r="B36" i="3"/>
  <c r="B40" i="3" s="1"/>
  <c r="B10" i="5"/>
  <c r="E3" i="1" s="1"/>
  <c r="B15" i="5"/>
  <c r="B17" i="5" s="1"/>
  <c r="E4" i="1" s="1"/>
  <c r="B8" i="6"/>
  <c r="C2" i="1"/>
  <c r="C10" i="1" s="1"/>
  <c r="E2" i="1"/>
  <c r="E14" i="1" l="1"/>
  <c r="B15" i="6"/>
  <c r="B17" i="6" s="1"/>
  <c r="F4" i="1" s="1"/>
  <c r="G4" i="1" s="1"/>
  <c r="B10" i="6"/>
  <c r="F3" i="1" s="1"/>
  <c r="G3" i="1" s="1"/>
  <c r="D10" i="1"/>
  <c r="E10" i="1"/>
  <c r="B36" i="5"/>
  <c r="B40" i="5" s="1"/>
  <c r="F2" i="1"/>
  <c r="G2" i="1" s="1"/>
  <c r="F14" i="1"/>
  <c r="B36" i="4"/>
  <c r="B40" i="4" s="1"/>
  <c r="B14" i="1"/>
  <c r="C14" i="1"/>
  <c r="G14" i="1" l="1"/>
  <c r="B37" i="6"/>
  <c r="B41" i="6" s="1"/>
  <c r="F10" i="1"/>
  <c r="G10" i="1" s="1"/>
</calcChain>
</file>

<file path=xl/sharedStrings.xml><?xml version="1.0" encoding="utf-8"?>
<sst xmlns="http://schemas.openxmlformats.org/spreadsheetml/2006/main" count="238" uniqueCount="78">
  <si>
    <t>Budget Category</t>
  </si>
  <si>
    <t>Year 1</t>
  </si>
  <si>
    <t>Year 2</t>
  </si>
  <si>
    <t>Year 3</t>
  </si>
  <si>
    <t>Year 4</t>
  </si>
  <si>
    <t>Year 5</t>
  </si>
  <si>
    <t>Cumulative Total</t>
  </si>
  <si>
    <t>A. Senior Personnel</t>
  </si>
  <si>
    <t>B. Other Personnel</t>
  </si>
  <si>
    <t>C. Fringe Benefits</t>
  </si>
  <si>
    <t>D. Equipment</t>
  </si>
  <si>
    <t>E. Travel</t>
  </si>
  <si>
    <t>F. Participant Support Costs</t>
  </si>
  <si>
    <t>G. Other Direct Costs</t>
  </si>
  <si>
    <t>H. Total Direct Costs</t>
  </si>
  <si>
    <t>I. Indirect Costs</t>
  </si>
  <si>
    <t>J. Total Direct and Indirect Costs</t>
  </si>
  <si>
    <t>NSF Budget Category</t>
  </si>
  <si>
    <t>Year 1 Requested Amount</t>
  </si>
  <si>
    <t>Notes</t>
  </si>
  <si>
    <t xml:space="preserve">   A.1 PI: Banister Bacon (1 mo summer)</t>
  </si>
  <si>
    <t>3% annual escalation</t>
  </si>
  <si>
    <t>Total A</t>
  </si>
  <si>
    <t>Total B</t>
  </si>
  <si>
    <t>Total C</t>
  </si>
  <si>
    <t>Total D</t>
  </si>
  <si>
    <t xml:space="preserve">   E.1 Domestic Travel</t>
  </si>
  <si>
    <t xml:space="preserve">   E.2 Foreign Travel</t>
  </si>
  <si>
    <t>Total E</t>
  </si>
  <si>
    <t>Total F</t>
  </si>
  <si>
    <t xml:space="preserve">   G.1 Materials and Supplies</t>
  </si>
  <si>
    <t xml:space="preserve">   G.2 Publication Costs/Documentation</t>
  </si>
  <si>
    <t xml:space="preserve">   G.6 Other (Tuition)</t>
  </si>
  <si>
    <t>Total G</t>
  </si>
  <si>
    <t>H. Total Direct Costs (A through G)</t>
  </si>
  <si>
    <t>J. Total Direct and Indirect Costs (H + I)</t>
  </si>
  <si>
    <t>Year 2 Requested Amount</t>
  </si>
  <si>
    <t>Year 3 Requested Amount</t>
  </si>
  <si>
    <t>Year 4 Requested Amount</t>
  </si>
  <si>
    <t>Year 5 Requested Amount</t>
  </si>
  <si>
    <t xml:space="preserve">   A.1 PI: Banister Bacon (1 mo summer) ($108,000 IBS)</t>
  </si>
  <si>
    <t xml:space="preserve">   B.1 Postdoctoral Scholars</t>
  </si>
  <si>
    <t xml:space="preserve">   B.2 Graduate Students</t>
  </si>
  <si>
    <t xml:space="preserve">   B.2 Graduate Students (5 students @ $70/hr for 100 hours each)</t>
  </si>
  <si>
    <t xml:space="preserve">   C.1 PI Fringe Benefits</t>
  </si>
  <si>
    <t xml:space="preserve">   C.1 Data Scientist Fringe Benefits</t>
  </si>
  <si>
    <t xml:space="preserve">   C.1 PDS Fringe Benefits</t>
  </si>
  <si>
    <t xml:space="preserve">   C.1 GS Fringe Benefits</t>
  </si>
  <si>
    <t>25% + $16,900 prorated for medical</t>
  </si>
  <si>
    <t>7% of wages</t>
  </si>
  <si>
    <t>25% of salary</t>
  </si>
  <si>
    <t xml:space="preserve">   D.1 Uranium Paint Enricher</t>
  </si>
  <si>
    <t xml:space="preserve">   D.2 Uranium Disposal System</t>
  </si>
  <si>
    <t xml:space="preserve">   A.2 Data Scientist: Than Wiggins (12 mo calendar) ($70,000 IBS)</t>
  </si>
  <si>
    <t xml:space="preserve">   A.2 Data Scientist: Than Wiggins (12 mo calendar)</t>
  </si>
  <si>
    <t xml:space="preserve">   B.1 Postdoctoral Scholars (2 scholars @ $60,000 each)</t>
  </si>
  <si>
    <t>BEARUranium 7UY-8JS, price obtained from vendor bidding process initiated by purchasing department</t>
  </si>
  <si>
    <t>Model UX-8800, current market price</t>
  </si>
  <si>
    <t>Travel to Los Alamos, NM for 2 people for Uranium Enrichment Training - Each person will have airfare $600, lodging $300, per diem $150, $1,050 each</t>
  </si>
  <si>
    <t>Travel to Rome, Italy for 2 people for Conference Presentations on Findings - Each person will have airfare $1,500, lodging $800, per diem $600, $2,900 each</t>
  </si>
  <si>
    <t xml:space="preserve">   F.1 Travel</t>
  </si>
  <si>
    <t xml:space="preserve">   F.1 Stipends</t>
  </si>
  <si>
    <t>Stipends for 4 participants to attend a uranium enrichment conference to be held at Piglan University, $500 each</t>
  </si>
  <si>
    <t xml:space="preserve">   F.1 Subsistence</t>
  </si>
  <si>
    <t xml:space="preserve">   F.1 Other</t>
  </si>
  <si>
    <t>Funds for 5 trainees to travel to Piglan, WY to obtain training during the statue enrichment process - Each participant will have airfare $400, lodging $250, per diem $150, $800 each</t>
  </si>
  <si>
    <t>Funds to house 3 uranium visiting external graduate students during the enrichment process for one month, $1,200 each</t>
  </si>
  <si>
    <t>Cleanroom instructional kit access charages for 20 public site trainees, $400 each</t>
  </si>
  <si>
    <t xml:space="preserve">   G.3 Consultant</t>
  </si>
  <si>
    <t>10 hazmat suits, $1,000 each</t>
  </si>
  <si>
    <t>For 5 Graduate Students</t>
  </si>
  <si>
    <t>I. Indirect Costs (F&amp;A @ 24% SWB)</t>
  </si>
  <si>
    <t>Base: $388,041</t>
  </si>
  <si>
    <t>Base: $367,536</t>
  </si>
  <si>
    <t>Base: $358,309</t>
  </si>
  <si>
    <t>Base: $349,349</t>
  </si>
  <si>
    <t>Base: $340,650</t>
  </si>
  <si>
    <t>Pynk Panthyr, uranium evaluation expert, $400 per day,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</si>
</sst>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555555"/>
      <name val="Calibri"/>
      <family val="2"/>
    </font>
    <font>
      <sz val="11"/>
      <name val="Calibri"/>
      <family val="2"/>
    </font>
    <font>
      <i/>
      <sz val="10"/>
      <color rgb="FF55555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D3D3D3"/>
        <bgColor rgb="FFD3D3D3"/>
      </patternFill>
    </fill>
    <fill>
      <patternFill patternType="solid">
        <fgColor rgb="FFE0FFFF"/>
        <bgColor rgb="FFE0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  <xf numFmtId="164" fontId="2" fillId="0" borderId="1" xfId="0" applyNumberFormat="1" applyFont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2" fillId="0" borderId="1" xfId="0" applyFont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4" fillId="0" borderId="1" xfId="0" applyFont="1" applyBorder="1"/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5" fillId="0" borderId="1" xfId="0" applyFont="1" applyBorder="1"/>
    <xf numFmtId="9" fontId="0" fillId="0" borderId="1" xfId="0" applyNumberFormat="1" applyBorder="1"/>
    <xf numFmtId="0" fontId="6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E19" sqref="E19"/>
    </sheetView>
  </sheetViews>
  <sheetFormatPr baseColWidth="10" defaultColWidth="8.83203125" defaultRowHeight="15" x14ac:dyDescent="0.2"/>
  <cols>
    <col min="1" max="1" width="40" customWidth="1"/>
    <col min="2" max="7" width="20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f>'Year 1'!B5</f>
        <v>82000</v>
      </c>
      <c r="C2" s="3">
        <f>'Year 2'!B5</f>
        <v>84460</v>
      </c>
      <c r="D2" s="3">
        <f>'Year 3'!B5</f>
        <v>86994</v>
      </c>
      <c r="E2" s="3">
        <f>'Year 4'!B5</f>
        <v>89603.89</v>
      </c>
      <c r="F2" s="3">
        <f>'Year 5'!B5</f>
        <v>92291.616699999999</v>
      </c>
      <c r="G2" s="4">
        <f t="shared" ref="G2:G8" si="0">SUM(B2:F2)</f>
        <v>435349.50670000003</v>
      </c>
    </row>
    <row r="3" spans="1:7" x14ac:dyDescent="0.2">
      <c r="A3" s="2" t="s">
        <v>8</v>
      </c>
      <c r="B3" s="3">
        <f>'Year 1'!B10</f>
        <v>155000</v>
      </c>
      <c r="C3" s="3">
        <f>'Year 2'!B10</f>
        <v>159650</v>
      </c>
      <c r="D3" s="3">
        <f>'Year 3'!B10</f>
        <v>164440</v>
      </c>
      <c r="E3" s="3">
        <f>'Year 4'!B10</f>
        <v>169372.24</v>
      </c>
      <c r="F3" s="3">
        <f>'Year 5'!B10</f>
        <v>174454.05719999998</v>
      </c>
      <c r="G3" s="4">
        <f t="shared" si="0"/>
        <v>822916.29719999991</v>
      </c>
    </row>
    <row r="4" spans="1:7" x14ac:dyDescent="0.2">
      <c r="A4" s="2" t="s">
        <v>9</v>
      </c>
      <c r="B4" s="3">
        <f>'Year 1'!B17</f>
        <v>103650</v>
      </c>
      <c r="C4" s="3">
        <f>'Year 2'!B17</f>
        <v>105238.5</v>
      </c>
      <c r="D4" s="3">
        <f>'Year 3'!B17</f>
        <v>106874.74</v>
      </c>
      <c r="E4" s="3">
        <f>'Year 4'!B17</f>
        <v>108559.9325</v>
      </c>
      <c r="F4" s="3">
        <f>'Year 5'!B17</f>
        <v>110295.67847499999</v>
      </c>
      <c r="G4" s="4">
        <f t="shared" si="0"/>
        <v>534618.85097499995</v>
      </c>
    </row>
    <row r="5" spans="1:7" x14ac:dyDescent="0.2">
      <c r="A5" s="2" t="s">
        <v>10</v>
      </c>
      <c r="B5" s="3">
        <f>'Year 1'!B21</f>
        <v>15000</v>
      </c>
      <c r="C5" s="3">
        <f>'Year 2'!B21</f>
        <v>0</v>
      </c>
      <c r="D5" s="3">
        <f>'Year 3'!B21</f>
        <v>0</v>
      </c>
      <c r="E5" s="3">
        <f>'Year 4'!B21</f>
        <v>6000</v>
      </c>
      <c r="F5" s="3">
        <f>'Year 5'!B21</f>
        <v>0</v>
      </c>
      <c r="G5" s="4">
        <f t="shared" si="0"/>
        <v>21000</v>
      </c>
    </row>
    <row r="6" spans="1:7" x14ac:dyDescent="0.2">
      <c r="A6" s="2" t="s">
        <v>11</v>
      </c>
      <c r="B6" s="3">
        <f>'Year 1'!B26</f>
        <v>2100</v>
      </c>
      <c r="C6" s="3">
        <f>'Year 2'!B26</f>
        <v>5800</v>
      </c>
      <c r="D6" s="3">
        <f>'Year 3'!B26</f>
        <v>0</v>
      </c>
      <c r="E6" s="3">
        <f>'Year 4'!B26</f>
        <v>5800</v>
      </c>
      <c r="F6" s="3">
        <f>'Year 5'!B26</f>
        <v>0</v>
      </c>
      <c r="G6" s="4">
        <f t="shared" si="0"/>
        <v>13700</v>
      </c>
    </row>
    <row r="7" spans="1:7" x14ac:dyDescent="0.2">
      <c r="A7" s="2" t="s">
        <v>12</v>
      </c>
      <c r="B7" s="3">
        <f>'Year 1'!B30</f>
        <v>4000</v>
      </c>
      <c r="C7" s="3">
        <f>'Year 2'!B30</f>
        <v>2000</v>
      </c>
      <c r="D7" s="3">
        <f>'Year 3'!B30</f>
        <v>3600</v>
      </c>
      <c r="E7" s="3">
        <f>'Year 4'!B30</f>
        <v>8000</v>
      </c>
      <c r="F7" s="3">
        <f>'Year 5'!B30</f>
        <v>0</v>
      </c>
      <c r="G7" s="4">
        <f t="shared" si="0"/>
        <v>17600</v>
      </c>
    </row>
    <row r="8" spans="1:7" x14ac:dyDescent="0.2">
      <c r="A8" s="2" t="s">
        <v>13</v>
      </c>
      <c r="B8" s="3">
        <f>'Year 1'!B34</f>
        <v>12000</v>
      </c>
      <c r="C8" s="3">
        <f>'Year 2'!B34</f>
        <v>10000</v>
      </c>
      <c r="D8" s="3">
        <f>'Year 3'!B34</f>
        <v>15000</v>
      </c>
      <c r="E8" s="3">
        <f>'Year 4'!B34</f>
        <v>15000</v>
      </c>
      <c r="F8" s="3">
        <f>'Year 5'!B35</f>
        <v>17000</v>
      </c>
      <c r="G8" s="4">
        <f t="shared" si="0"/>
        <v>69000</v>
      </c>
    </row>
    <row r="10" spans="1:7" x14ac:dyDescent="0.2">
      <c r="A10" s="5" t="s">
        <v>14</v>
      </c>
      <c r="B10" s="6">
        <f>SUM(B2:B8)</f>
        <v>373750</v>
      </c>
      <c r="C10" s="6">
        <f t="shared" ref="C10:F10" si="1">SUM(C2:C8)</f>
        <v>367148.5</v>
      </c>
      <c r="D10" s="6">
        <f t="shared" si="1"/>
        <v>376908.74</v>
      </c>
      <c r="E10" s="6">
        <f t="shared" si="1"/>
        <v>402336.0625</v>
      </c>
      <c r="F10" s="6">
        <f t="shared" si="1"/>
        <v>394041.35237500002</v>
      </c>
      <c r="G10" s="6">
        <f>SUM(B10:F10)</f>
        <v>1914184.654875</v>
      </c>
    </row>
    <row r="12" spans="1:7" x14ac:dyDescent="0.2">
      <c r="A12" s="7" t="s">
        <v>15</v>
      </c>
      <c r="B12" s="4">
        <f>'Year 1'!B38</f>
        <v>81756</v>
      </c>
      <c r="C12" s="4">
        <f>'Year 2'!B38</f>
        <v>83843.64</v>
      </c>
      <c r="D12" s="4">
        <f>'Year 3'!B38</f>
        <v>85994.097599999994</v>
      </c>
      <c r="E12" s="4">
        <f>'Year 4'!B38</f>
        <v>88208.654999999999</v>
      </c>
      <c r="F12" s="4">
        <f>'Year 5'!B39</f>
        <v>90489.924570000003</v>
      </c>
      <c r="G12" s="4">
        <f>SUM(B12:F12)</f>
        <v>430292.31717000005</v>
      </c>
    </row>
    <row r="14" spans="1:7" ht="16" x14ac:dyDescent="0.2">
      <c r="A14" s="8" t="s">
        <v>16</v>
      </c>
      <c r="B14" s="9">
        <f>B10+B12</f>
        <v>455506</v>
      </c>
      <c r="C14" s="9">
        <f>B10+B12</f>
        <v>455506</v>
      </c>
      <c r="D14" s="9">
        <f>B10+B12</f>
        <v>455506</v>
      </c>
      <c r="E14" s="9">
        <f>B10+B12</f>
        <v>455506</v>
      </c>
      <c r="F14" s="9">
        <f>B10+B12</f>
        <v>455506</v>
      </c>
      <c r="G14" s="9">
        <f>SUM(B14:F14)</f>
        <v>2277530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abSelected="1" workbookViewId="0">
      <pane ySplit="1" topLeftCell="A2" activePane="bottomLeft" state="frozen"/>
      <selection pane="bottomLeft" activeCell="C34" sqref="C34"/>
    </sheetView>
  </sheetViews>
  <sheetFormatPr baseColWidth="10" defaultColWidth="8.83203125" defaultRowHeight="15" x14ac:dyDescent="0.2"/>
  <cols>
    <col min="1" max="1" width="51.33203125" bestFit="1" customWidth="1"/>
    <col min="2" max="2" width="25" customWidth="1"/>
    <col min="3" max="3" width="30" customWidth="1"/>
    <col min="4" max="4" width="11.1640625" bestFit="1" customWidth="1"/>
  </cols>
  <sheetData>
    <row r="1" spans="1:3" ht="16" x14ac:dyDescent="0.2">
      <c r="A1" s="1" t="s">
        <v>17</v>
      </c>
      <c r="B1" s="1" t="s">
        <v>18</v>
      </c>
      <c r="C1" s="1" t="s">
        <v>19</v>
      </c>
    </row>
    <row r="2" spans="1:3" x14ac:dyDescent="0.2">
      <c r="A2" s="10" t="s">
        <v>7</v>
      </c>
      <c r="B2" s="11"/>
      <c r="C2" s="11"/>
    </row>
    <row r="3" spans="1:3" x14ac:dyDescent="0.2">
      <c r="A3" s="16" t="s">
        <v>40</v>
      </c>
      <c r="B3" s="3">
        <v>12000</v>
      </c>
      <c r="C3" s="12" t="s">
        <v>21</v>
      </c>
    </row>
    <row r="4" spans="1:3" x14ac:dyDescent="0.2">
      <c r="A4" s="2" t="s">
        <v>53</v>
      </c>
      <c r="B4" s="3">
        <v>70000</v>
      </c>
      <c r="C4" s="12" t="s">
        <v>21</v>
      </c>
    </row>
    <row r="5" spans="1:3" x14ac:dyDescent="0.2">
      <c r="A5" s="7" t="s">
        <v>22</v>
      </c>
      <c r="B5" s="4">
        <f>SUM(B3:B4)</f>
        <v>82000</v>
      </c>
      <c r="C5" s="13"/>
    </row>
    <row r="7" spans="1:3" x14ac:dyDescent="0.2">
      <c r="A7" s="10" t="s">
        <v>8</v>
      </c>
      <c r="B7" s="11"/>
      <c r="C7" s="11"/>
    </row>
    <row r="8" spans="1:3" x14ac:dyDescent="0.2">
      <c r="A8" s="2" t="s">
        <v>55</v>
      </c>
      <c r="B8" s="3">
        <v>120000</v>
      </c>
      <c r="C8" s="12" t="s">
        <v>21</v>
      </c>
    </row>
    <row r="9" spans="1:3" x14ac:dyDescent="0.2">
      <c r="A9" s="2" t="s">
        <v>43</v>
      </c>
      <c r="B9" s="3">
        <v>35000</v>
      </c>
      <c r="C9" s="12" t="s">
        <v>21</v>
      </c>
    </row>
    <row r="10" spans="1:3" x14ac:dyDescent="0.2">
      <c r="A10" s="7" t="s">
        <v>23</v>
      </c>
      <c r="B10" s="4">
        <f>SUM(B8:B9)</f>
        <v>155000</v>
      </c>
      <c r="C10" s="13"/>
    </row>
    <row r="12" spans="1:3" x14ac:dyDescent="0.2">
      <c r="A12" s="10" t="s">
        <v>9</v>
      </c>
      <c r="B12" s="11"/>
      <c r="C12" s="11"/>
    </row>
    <row r="13" spans="1:3" x14ac:dyDescent="0.2">
      <c r="A13" s="2" t="s">
        <v>44</v>
      </c>
      <c r="B13" s="3">
        <f>0.25*B3</f>
        <v>3000</v>
      </c>
      <c r="C13" s="17" t="s">
        <v>50</v>
      </c>
    </row>
    <row r="14" spans="1:3" x14ac:dyDescent="0.2">
      <c r="A14" s="2" t="s">
        <v>45</v>
      </c>
      <c r="B14" s="3">
        <f>0.25*B4+16900</f>
        <v>34400</v>
      </c>
      <c r="C14" s="13" t="s">
        <v>48</v>
      </c>
    </row>
    <row r="15" spans="1:3" x14ac:dyDescent="0.2">
      <c r="A15" s="2" t="s">
        <v>46</v>
      </c>
      <c r="B15" s="3">
        <f>0.25*B8+16900*2</f>
        <v>63800</v>
      </c>
      <c r="C15" s="13" t="s">
        <v>48</v>
      </c>
    </row>
    <row r="16" spans="1:3" x14ac:dyDescent="0.2">
      <c r="A16" s="2" t="s">
        <v>47</v>
      </c>
      <c r="B16" s="3">
        <f>B9*0.07</f>
        <v>2450.0000000000005</v>
      </c>
      <c r="C16" s="17" t="s">
        <v>49</v>
      </c>
    </row>
    <row r="17" spans="1:3" x14ac:dyDescent="0.2">
      <c r="A17" s="7" t="s">
        <v>24</v>
      </c>
      <c r="B17" s="4">
        <f>SUM(B13:B16)</f>
        <v>103650</v>
      </c>
      <c r="C17" s="13"/>
    </row>
    <row r="19" spans="1:3" x14ac:dyDescent="0.2">
      <c r="A19" s="10" t="s">
        <v>10</v>
      </c>
      <c r="B19" s="11"/>
      <c r="C19" s="11"/>
    </row>
    <row r="20" spans="1:3" x14ac:dyDescent="0.2">
      <c r="A20" s="2" t="s">
        <v>51</v>
      </c>
      <c r="B20" s="3">
        <v>15000</v>
      </c>
      <c r="C20" s="12" t="s">
        <v>56</v>
      </c>
    </row>
    <row r="21" spans="1:3" x14ac:dyDescent="0.2">
      <c r="A21" s="7" t="s">
        <v>25</v>
      </c>
      <c r="B21" s="4">
        <f>SUM(B20:B20)</f>
        <v>15000</v>
      </c>
      <c r="C21" s="13"/>
    </row>
    <row r="23" spans="1:3" x14ac:dyDescent="0.2">
      <c r="A23" s="10" t="s">
        <v>11</v>
      </c>
      <c r="B23" s="11"/>
      <c r="C23" s="11"/>
    </row>
    <row r="24" spans="1:3" x14ac:dyDescent="0.2">
      <c r="A24" s="2" t="s">
        <v>26</v>
      </c>
      <c r="B24" s="3">
        <f>1050*2</f>
        <v>2100</v>
      </c>
      <c r="C24" s="13" t="s">
        <v>58</v>
      </c>
    </row>
    <row r="25" spans="1:3" x14ac:dyDescent="0.2">
      <c r="A25" s="2" t="s">
        <v>27</v>
      </c>
      <c r="B25" s="3">
        <v>0</v>
      </c>
      <c r="C25" s="13"/>
    </row>
    <row r="26" spans="1:3" x14ac:dyDescent="0.2">
      <c r="A26" s="7" t="s">
        <v>28</v>
      </c>
      <c r="B26" s="4">
        <f>SUM(B24:B25)</f>
        <v>2100</v>
      </c>
      <c r="C26" s="13"/>
    </row>
    <row r="28" spans="1:3" x14ac:dyDescent="0.2">
      <c r="A28" s="10" t="s">
        <v>12</v>
      </c>
      <c r="B28" s="11"/>
      <c r="C28" s="11"/>
    </row>
    <row r="29" spans="1:3" x14ac:dyDescent="0.2">
      <c r="A29" s="2" t="s">
        <v>60</v>
      </c>
      <c r="B29" s="3">
        <f>800*5</f>
        <v>4000</v>
      </c>
      <c r="C29" s="13" t="s">
        <v>65</v>
      </c>
    </row>
    <row r="30" spans="1:3" x14ac:dyDescent="0.2">
      <c r="A30" s="7" t="s">
        <v>29</v>
      </c>
      <c r="B30" s="4">
        <f>SUM(B29:B29)</f>
        <v>4000</v>
      </c>
      <c r="C30" s="13"/>
    </row>
    <row r="32" spans="1:3" x14ac:dyDescent="0.2">
      <c r="A32" s="10" t="s">
        <v>13</v>
      </c>
      <c r="B32" s="11"/>
      <c r="C32" s="11"/>
    </row>
    <row r="33" spans="1:4" x14ac:dyDescent="0.2">
      <c r="A33" s="2" t="s">
        <v>68</v>
      </c>
      <c r="B33" s="3">
        <f>400*30</f>
        <v>12000</v>
      </c>
      <c r="C33" s="13" t="s">
        <v>77</v>
      </c>
    </row>
    <row r="34" spans="1:4" x14ac:dyDescent="0.2">
      <c r="A34" s="7" t="s">
        <v>33</v>
      </c>
      <c r="B34" s="4">
        <f>SUM(B33:B33)</f>
        <v>12000</v>
      </c>
      <c r="C34" s="13"/>
    </row>
    <row r="36" spans="1:4" x14ac:dyDescent="0.2">
      <c r="A36" s="5" t="s">
        <v>34</v>
      </c>
      <c r="B36" s="6">
        <f>B5+B10+B17+B21+B26+B30+B34</f>
        <v>373750</v>
      </c>
      <c r="C36" s="14"/>
    </row>
    <row r="38" spans="1:4" x14ac:dyDescent="0.2">
      <c r="A38" s="7" t="s">
        <v>71</v>
      </c>
      <c r="B38" s="4">
        <f>(B5+B10+B17)*0.24</f>
        <v>81756</v>
      </c>
      <c r="C38" s="12" t="s">
        <v>76</v>
      </c>
      <c r="D38" s="19"/>
    </row>
    <row r="40" spans="1:4" ht="16" x14ac:dyDescent="0.2">
      <c r="A40" s="8" t="s">
        <v>35</v>
      </c>
      <c r="B40" s="9">
        <f>B36+B38</f>
        <v>455506</v>
      </c>
      <c r="C40" s="1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workbookViewId="0">
      <pane ySplit="1" topLeftCell="A15" activePane="bottomLeft" state="frozen"/>
      <selection pane="bottomLeft" activeCell="D38" sqref="D38"/>
    </sheetView>
  </sheetViews>
  <sheetFormatPr baseColWidth="10" defaultColWidth="8.83203125" defaultRowHeight="15" x14ac:dyDescent="0.2"/>
  <cols>
    <col min="1" max="1" width="50" customWidth="1"/>
    <col min="2" max="2" width="25" customWidth="1"/>
    <col min="3" max="3" width="30" customWidth="1"/>
    <col min="4" max="4" width="11.1640625" bestFit="1" customWidth="1"/>
  </cols>
  <sheetData>
    <row r="1" spans="1:3" ht="16" x14ac:dyDescent="0.2">
      <c r="A1" s="1" t="s">
        <v>17</v>
      </c>
      <c r="B1" s="1" t="s">
        <v>36</v>
      </c>
      <c r="C1" s="1" t="s">
        <v>19</v>
      </c>
    </row>
    <row r="2" spans="1:3" x14ac:dyDescent="0.2">
      <c r="A2" s="10" t="s">
        <v>7</v>
      </c>
      <c r="B2" s="11"/>
      <c r="C2" s="11"/>
    </row>
    <row r="3" spans="1:3" x14ac:dyDescent="0.2">
      <c r="A3" s="2" t="s">
        <v>20</v>
      </c>
      <c r="B3" s="3">
        <v>12360</v>
      </c>
      <c r="C3" s="12" t="s">
        <v>21</v>
      </c>
    </row>
    <row r="4" spans="1:3" x14ac:dyDescent="0.2">
      <c r="A4" s="2" t="s">
        <v>54</v>
      </c>
      <c r="B4" s="3">
        <f>1.03*'Year 1'!B4</f>
        <v>72100</v>
      </c>
      <c r="C4" s="12" t="s">
        <v>21</v>
      </c>
    </row>
    <row r="5" spans="1:3" x14ac:dyDescent="0.2">
      <c r="A5" s="7" t="s">
        <v>22</v>
      </c>
      <c r="B5" s="4">
        <f>SUM(B3:B4)</f>
        <v>84460</v>
      </c>
      <c r="C5" s="13"/>
    </row>
    <row r="7" spans="1:3" x14ac:dyDescent="0.2">
      <c r="A7" s="10" t="s">
        <v>8</v>
      </c>
      <c r="B7" s="11"/>
      <c r="C7" s="11"/>
    </row>
    <row r="8" spans="1:3" x14ac:dyDescent="0.2">
      <c r="A8" s="2" t="s">
        <v>41</v>
      </c>
      <c r="B8" s="3">
        <f>1.03*'Year 1'!B8</f>
        <v>123600</v>
      </c>
      <c r="C8" s="12" t="s">
        <v>21</v>
      </c>
    </row>
    <row r="9" spans="1:3" x14ac:dyDescent="0.2">
      <c r="A9" s="2" t="s">
        <v>42</v>
      </c>
      <c r="B9" s="3">
        <v>36050</v>
      </c>
      <c r="C9" s="12" t="s">
        <v>21</v>
      </c>
    </row>
    <row r="10" spans="1:3" x14ac:dyDescent="0.2">
      <c r="A10" s="7" t="s">
        <v>23</v>
      </c>
      <c r="B10" s="4">
        <f>SUM(B8:B9)</f>
        <v>159650</v>
      </c>
      <c r="C10" s="13"/>
    </row>
    <row r="12" spans="1:3" x14ac:dyDescent="0.2">
      <c r="A12" s="10" t="s">
        <v>9</v>
      </c>
      <c r="B12" s="11"/>
      <c r="C12" s="11"/>
    </row>
    <row r="13" spans="1:3" x14ac:dyDescent="0.2">
      <c r="A13" s="2" t="s">
        <v>44</v>
      </c>
      <c r="B13" s="3">
        <f>0.25*B3</f>
        <v>3090</v>
      </c>
      <c r="C13" s="17" t="s">
        <v>50</v>
      </c>
    </row>
    <row r="14" spans="1:3" x14ac:dyDescent="0.2">
      <c r="A14" s="2" t="s">
        <v>45</v>
      </c>
      <c r="B14" s="3">
        <f>0.25*B4+16900</f>
        <v>34925</v>
      </c>
      <c r="C14" s="13" t="s">
        <v>48</v>
      </c>
    </row>
    <row r="15" spans="1:3" x14ac:dyDescent="0.2">
      <c r="A15" s="2" t="s">
        <v>46</v>
      </c>
      <c r="B15" s="3">
        <f>0.25*B8+16900*2</f>
        <v>64700</v>
      </c>
      <c r="C15" s="13" t="s">
        <v>48</v>
      </c>
    </row>
    <row r="16" spans="1:3" x14ac:dyDescent="0.2">
      <c r="A16" s="2" t="s">
        <v>47</v>
      </c>
      <c r="B16" s="3">
        <f>B9*0.07</f>
        <v>2523.5000000000005</v>
      </c>
      <c r="C16" s="17" t="s">
        <v>49</v>
      </c>
    </row>
    <row r="17" spans="1:3" x14ac:dyDescent="0.2">
      <c r="A17" s="7" t="s">
        <v>24</v>
      </c>
      <c r="B17" s="4">
        <f>SUM(B13:B16)</f>
        <v>105238.5</v>
      </c>
      <c r="C17" s="13"/>
    </row>
    <row r="19" spans="1:3" x14ac:dyDescent="0.2">
      <c r="A19" s="10" t="s">
        <v>10</v>
      </c>
      <c r="B19" s="11"/>
      <c r="C19" s="11"/>
    </row>
    <row r="20" spans="1:3" x14ac:dyDescent="0.2">
      <c r="A20" s="2"/>
      <c r="B20" s="3">
        <v>0</v>
      </c>
      <c r="C20" s="12"/>
    </row>
    <row r="21" spans="1:3" x14ac:dyDescent="0.2">
      <c r="A21" s="7" t="s">
        <v>25</v>
      </c>
      <c r="B21" s="4">
        <f>SUM(B20:B20)</f>
        <v>0</v>
      </c>
      <c r="C21" s="13"/>
    </row>
    <row r="23" spans="1:3" x14ac:dyDescent="0.2">
      <c r="A23" s="10" t="s">
        <v>11</v>
      </c>
      <c r="B23" s="11"/>
      <c r="C23" s="11"/>
    </row>
    <row r="24" spans="1:3" x14ac:dyDescent="0.2">
      <c r="A24" s="2" t="s">
        <v>26</v>
      </c>
      <c r="B24" s="3">
        <v>0</v>
      </c>
      <c r="C24" s="13"/>
    </row>
    <row r="25" spans="1:3" x14ac:dyDescent="0.2">
      <c r="A25" s="2" t="s">
        <v>27</v>
      </c>
      <c r="B25" s="3">
        <f>2900*2</f>
        <v>5800</v>
      </c>
      <c r="C25" s="13" t="s">
        <v>59</v>
      </c>
    </row>
    <row r="26" spans="1:3" x14ac:dyDescent="0.2">
      <c r="A26" s="7" t="s">
        <v>28</v>
      </c>
      <c r="B26" s="4">
        <f>SUM(B24:B25)</f>
        <v>5800</v>
      </c>
      <c r="C26" s="13"/>
    </row>
    <row r="28" spans="1:3" x14ac:dyDescent="0.2">
      <c r="A28" s="10" t="s">
        <v>12</v>
      </c>
      <c r="B28" s="11"/>
      <c r="C28" s="11"/>
    </row>
    <row r="29" spans="1:3" x14ac:dyDescent="0.2">
      <c r="A29" s="2" t="s">
        <v>61</v>
      </c>
      <c r="B29" s="3">
        <f>500*4</f>
        <v>2000</v>
      </c>
      <c r="C29" s="13" t="s">
        <v>62</v>
      </c>
    </row>
    <row r="30" spans="1:3" x14ac:dyDescent="0.2">
      <c r="A30" s="7" t="s">
        <v>29</v>
      </c>
      <c r="B30" s="4">
        <f>SUM(B29:B29)</f>
        <v>2000</v>
      </c>
      <c r="C30" s="13"/>
    </row>
    <row r="32" spans="1:3" x14ac:dyDescent="0.2">
      <c r="A32" s="10" t="s">
        <v>13</v>
      </c>
      <c r="B32" s="11"/>
      <c r="C32" s="11"/>
    </row>
    <row r="33" spans="1:4" x14ac:dyDescent="0.2">
      <c r="A33" s="2" t="s">
        <v>30</v>
      </c>
      <c r="B33" s="3">
        <v>10000</v>
      </c>
      <c r="C33" s="13" t="s">
        <v>69</v>
      </c>
    </row>
    <row r="34" spans="1:4" x14ac:dyDescent="0.2">
      <c r="A34" s="7" t="s">
        <v>33</v>
      </c>
      <c r="B34" s="4">
        <f>SUM(B33:B33)</f>
        <v>10000</v>
      </c>
      <c r="C34" s="13"/>
    </row>
    <row r="36" spans="1:4" x14ac:dyDescent="0.2">
      <c r="A36" s="5" t="s">
        <v>34</v>
      </c>
      <c r="B36" s="6">
        <f>B5+B10+B17+B21+B26+B30+B34</f>
        <v>367148.5</v>
      </c>
      <c r="C36" s="14"/>
    </row>
    <row r="38" spans="1:4" x14ac:dyDescent="0.2">
      <c r="A38" s="7" t="s">
        <v>71</v>
      </c>
      <c r="B38" s="4">
        <f>(B5+B10+B17)*0.24</f>
        <v>83843.64</v>
      </c>
      <c r="C38" s="12" t="s">
        <v>75</v>
      </c>
      <c r="D38" s="19"/>
    </row>
    <row r="40" spans="1:4" ht="16" x14ac:dyDescent="0.2">
      <c r="A40" s="8" t="s">
        <v>35</v>
      </c>
      <c r="B40" s="9">
        <f>B36+B38</f>
        <v>450992.14</v>
      </c>
      <c r="C40" s="1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"/>
  <sheetViews>
    <sheetView workbookViewId="0">
      <pane ySplit="1" topLeftCell="A20" activePane="bottomLeft" state="frozen"/>
      <selection pane="bottomLeft" activeCell="D38" sqref="D38"/>
    </sheetView>
  </sheetViews>
  <sheetFormatPr baseColWidth="10" defaultColWidth="8.83203125" defaultRowHeight="15" x14ac:dyDescent="0.2"/>
  <cols>
    <col min="1" max="1" width="50" customWidth="1"/>
    <col min="2" max="2" width="25" customWidth="1"/>
    <col min="3" max="3" width="30" customWidth="1"/>
    <col min="4" max="4" width="11.1640625" bestFit="1" customWidth="1"/>
  </cols>
  <sheetData>
    <row r="1" spans="1:3" ht="16" x14ac:dyDescent="0.2">
      <c r="A1" s="1" t="s">
        <v>17</v>
      </c>
      <c r="B1" s="1" t="s">
        <v>37</v>
      </c>
      <c r="C1" s="1" t="s">
        <v>19</v>
      </c>
    </row>
    <row r="2" spans="1:3" x14ac:dyDescent="0.2">
      <c r="A2" s="10" t="s">
        <v>7</v>
      </c>
      <c r="B2" s="11"/>
      <c r="C2" s="11"/>
    </row>
    <row r="3" spans="1:3" x14ac:dyDescent="0.2">
      <c r="A3" s="2" t="s">
        <v>20</v>
      </c>
      <c r="B3" s="3">
        <v>12731</v>
      </c>
      <c r="C3" s="12" t="s">
        <v>21</v>
      </c>
    </row>
    <row r="4" spans="1:3" x14ac:dyDescent="0.2">
      <c r="A4" s="2" t="s">
        <v>54</v>
      </c>
      <c r="B4" s="3">
        <f>1.03*'Year 2'!B4</f>
        <v>74263</v>
      </c>
      <c r="C4" s="12" t="s">
        <v>21</v>
      </c>
    </row>
    <row r="5" spans="1:3" x14ac:dyDescent="0.2">
      <c r="A5" s="7" t="s">
        <v>22</v>
      </c>
      <c r="B5" s="4">
        <f>SUM(B3:B4)</f>
        <v>86994</v>
      </c>
      <c r="C5" s="13"/>
    </row>
    <row r="7" spans="1:3" x14ac:dyDescent="0.2">
      <c r="A7" s="10" t="s">
        <v>8</v>
      </c>
      <c r="B7" s="11"/>
      <c r="C7" s="11"/>
    </row>
    <row r="8" spans="1:3" x14ac:dyDescent="0.2">
      <c r="A8" s="2" t="s">
        <v>41</v>
      </c>
      <c r="B8" s="3">
        <f>'Year 2'!B8*1.03</f>
        <v>127308</v>
      </c>
      <c r="C8" s="12" t="s">
        <v>21</v>
      </c>
    </row>
    <row r="9" spans="1:3" x14ac:dyDescent="0.2">
      <c r="A9" s="2" t="s">
        <v>42</v>
      </c>
      <c r="B9" s="3">
        <v>37132</v>
      </c>
      <c r="C9" s="12" t="s">
        <v>21</v>
      </c>
    </row>
    <row r="10" spans="1:3" x14ac:dyDescent="0.2">
      <c r="A10" s="7" t="s">
        <v>23</v>
      </c>
      <c r="B10" s="4">
        <f>SUM(B8:B9)</f>
        <v>164440</v>
      </c>
      <c r="C10" s="13"/>
    </row>
    <row r="12" spans="1:3" x14ac:dyDescent="0.2">
      <c r="A12" s="10" t="s">
        <v>9</v>
      </c>
      <c r="B12" s="11"/>
      <c r="C12" s="11"/>
    </row>
    <row r="13" spans="1:3" x14ac:dyDescent="0.2">
      <c r="A13" s="2" t="s">
        <v>44</v>
      </c>
      <c r="B13" s="3">
        <f>0.25*B3</f>
        <v>3182.75</v>
      </c>
      <c r="C13" s="17" t="s">
        <v>50</v>
      </c>
    </row>
    <row r="14" spans="1:3" x14ac:dyDescent="0.2">
      <c r="A14" s="2" t="s">
        <v>45</v>
      </c>
      <c r="B14" s="3">
        <f>0.25*B4+16900</f>
        <v>35465.75</v>
      </c>
      <c r="C14" s="13" t="s">
        <v>48</v>
      </c>
    </row>
    <row r="15" spans="1:3" x14ac:dyDescent="0.2">
      <c r="A15" s="2" t="s">
        <v>46</v>
      </c>
      <c r="B15" s="3">
        <f>0.25*B8+16900*2</f>
        <v>65627</v>
      </c>
      <c r="C15" s="13" t="s">
        <v>48</v>
      </c>
    </row>
    <row r="16" spans="1:3" x14ac:dyDescent="0.2">
      <c r="A16" s="2" t="s">
        <v>47</v>
      </c>
      <c r="B16" s="3">
        <f>B9*0.07</f>
        <v>2599.2400000000002</v>
      </c>
      <c r="C16" s="17" t="s">
        <v>49</v>
      </c>
    </row>
    <row r="17" spans="1:3" x14ac:dyDescent="0.2">
      <c r="A17" s="7" t="s">
        <v>24</v>
      </c>
      <c r="B17" s="4">
        <f>SUM(B13:B16)</f>
        <v>106874.74</v>
      </c>
      <c r="C17" s="13"/>
    </row>
    <row r="19" spans="1:3" x14ac:dyDescent="0.2">
      <c r="A19" s="10" t="s">
        <v>10</v>
      </c>
      <c r="B19" s="11"/>
      <c r="C19" s="11"/>
    </row>
    <row r="20" spans="1:3" x14ac:dyDescent="0.2">
      <c r="A20" s="2"/>
      <c r="B20" s="3">
        <v>0</v>
      </c>
      <c r="C20" s="12"/>
    </row>
    <row r="21" spans="1:3" x14ac:dyDescent="0.2">
      <c r="A21" s="7" t="s">
        <v>25</v>
      </c>
      <c r="B21" s="4">
        <f>SUM(B20:B20)</f>
        <v>0</v>
      </c>
      <c r="C21" s="13"/>
    </row>
    <row r="23" spans="1:3" x14ac:dyDescent="0.2">
      <c r="A23" s="10" t="s">
        <v>11</v>
      </c>
      <c r="B23" s="11"/>
      <c r="C23" s="11"/>
    </row>
    <row r="24" spans="1:3" x14ac:dyDescent="0.2">
      <c r="A24" s="2" t="s">
        <v>26</v>
      </c>
      <c r="B24" s="3">
        <v>0</v>
      </c>
      <c r="C24" s="13"/>
    </row>
    <row r="25" spans="1:3" x14ac:dyDescent="0.2">
      <c r="A25" s="2" t="s">
        <v>27</v>
      </c>
      <c r="B25" s="3">
        <v>0</v>
      </c>
      <c r="C25" s="13"/>
    </row>
    <row r="26" spans="1:3" x14ac:dyDescent="0.2">
      <c r="A26" s="7" t="s">
        <v>28</v>
      </c>
      <c r="B26" s="4">
        <f>SUM(B24:B25)</f>
        <v>0</v>
      </c>
      <c r="C26" s="13"/>
    </row>
    <row r="28" spans="1:3" x14ac:dyDescent="0.2">
      <c r="A28" s="10" t="s">
        <v>12</v>
      </c>
      <c r="B28" s="11"/>
      <c r="C28" s="11"/>
    </row>
    <row r="29" spans="1:3" x14ac:dyDescent="0.2">
      <c r="A29" s="2" t="s">
        <v>63</v>
      </c>
      <c r="B29" s="3">
        <f>1200*3</f>
        <v>3600</v>
      </c>
      <c r="C29" s="13" t="s">
        <v>66</v>
      </c>
    </row>
    <row r="30" spans="1:3" x14ac:dyDescent="0.2">
      <c r="A30" s="7" t="s">
        <v>29</v>
      </c>
      <c r="B30" s="4">
        <f>SUM(B29:B29)</f>
        <v>3600</v>
      </c>
      <c r="C30" s="13"/>
    </row>
    <row r="32" spans="1:3" x14ac:dyDescent="0.2">
      <c r="A32" s="10" t="s">
        <v>13</v>
      </c>
      <c r="B32" s="11"/>
      <c r="C32" s="11"/>
    </row>
    <row r="33" spans="1:4" x14ac:dyDescent="0.2">
      <c r="A33" s="2" t="s">
        <v>32</v>
      </c>
      <c r="B33" s="3">
        <v>15000</v>
      </c>
      <c r="C33" s="12" t="s">
        <v>70</v>
      </c>
    </row>
    <row r="34" spans="1:4" x14ac:dyDescent="0.2">
      <c r="A34" s="7" t="s">
        <v>33</v>
      </c>
      <c r="B34" s="4">
        <f>SUM(B33:B33)</f>
        <v>15000</v>
      </c>
      <c r="C34" s="13"/>
    </row>
    <row r="36" spans="1:4" x14ac:dyDescent="0.2">
      <c r="A36" s="5" t="s">
        <v>34</v>
      </c>
      <c r="B36" s="6">
        <f>B5+B10+B17+B21+B26+B30+B34</f>
        <v>376908.74</v>
      </c>
      <c r="C36" s="14"/>
    </row>
    <row r="38" spans="1:4" x14ac:dyDescent="0.2">
      <c r="A38" s="7" t="s">
        <v>71</v>
      </c>
      <c r="B38" s="4">
        <f>(B5+B10+B17)*0.24</f>
        <v>85994.097599999994</v>
      </c>
      <c r="C38" s="12" t="s">
        <v>74</v>
      </c>
      <c r="D38" s="19"/>
    </row>
    <row r="40" spans="1:4" ht="16" x14ac:dyDescent="0.2">
      <c r="A40" s="8" t="s">
        <v>35</v>
      </c>
      <c r="B40" s="9">
        <f>B36+B38</f>
        <v>462902.83759999997</v>
      </c>
      <c r="C40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"/>
  <sheetViews>
    <sheetView workbookViewId="0">
      <pane ySplit="1" topLeftCell="A18" activePane="bottomLeft" state="frozen"/>
      <selection pane="bottomLeft" activeCell="D38" sqref="D38"/>
    </sheetView>
  </sheetViews>
  <sheetFormatPr baseColWidth="10" defaultColWidth="8.83203125" defaultRowHeight="15" x14ac:dyDescent="0.2"/>
  <cols>
    <col min="1" max="1" width="50" customWidth="1"/>
    <col min="2" max="2" width="25" customWidth="1"/>
    <col min="3" max="3" width="30" customWidth="1"/>
    <col min="4" max="4" width="11.1640625" bestFit="1" customWidth="1"/>
  </cols>
  <sheetData>
    <row r="1" spans="1:3" ht="16" x14ac:dyDescent="0.2">
      <c r="A1" s="1" t="s">
        <v>17</v>
      </c>
      <c r="B1" s="1" t="s">
        <v>38</v>
      </c>
      <c r="C1" s="1" t="s">
        <v>19</v>
      </c>
    </row>
    <row r="2" spans="1:3" x14ac:dyDescent="0.2">
      <c r="A2" s="10" t="s">
        <v>7</v>
      </c>
      <c r="B2" s="11"/>
      <c r="C2" s="11"/>
    </row>
    <row r="3" spans="1:3" x14ac:dyDescent="0.2">
      <c r="A3" s="2" t="s">
        <v>20</v>
      </c>
      <c r="B3" s="3">
        <v>13113</v>
      </c>
      <c r="C3" s="12" t="s">
        <v>21</v>
      </c>
    </row>
    <row r="4" spans="1:3" x14ac:dyDescent="0.2">
      <c r="A4" s="2" t="s">
        <v>54</v>
      </c>
      <c r="B4" s="3">
        <f>1.03*'Year 3'!B4</f>
        <v>76490.89</v>
      </c>
      <c r="C4" s="12" t="s">
        <v>21</v>
      </c>
    </row>
    <row r="5" spans="1:3" x14ac:dyDescent="0.2">
      <c r="A5" s="7" t="s">
        <v>22</v>
      </c>
      <c r="B5" s="4">
        <f>SUM(B3:B4)</f>
        <v>89603.89</v>
      </c>
      <c r="C5" s="13"/>
    </row>
    <row r="7" spans="1:3" x14ac:dyDescent="0.2">
      <c r="A7" s="10" t="s">
        <v>8</v>
      </c>
      <c r="B7" s="11"/>
      <c r="C7" s="11"/>
    </row>
    <row r="8" spans="1:3" x14ac:dyDescent="0.2">
      <c r="A8" s="2" t="s">
        <v>41</v>
      </c>
      <c r="B8" s="3">
        <f>1.03*'Year 3'!B8</f>
        <v>131127.24</v>
      </c>
      <c r="C8" s="12" t="s">
        <v>21</v>
      </c>
    </row>
    <row r="9" spans="1:3" x14ac:dyDescent="0.2">
      <c r="A9" s="2" t="s">
        <v>42</v>
      </c>
      <c r="B9" s="3">
        <v>38245</v>
      </c>
      <c r="C9" s="12" t="s">
        <v>21</v>
      </c>
    </row>
    <row r="10" spans="1:3" x14ac:dyDescent="0.2">
      <c r="A10" s="7" t="s">
        <v>23</v>
      </c>
      <c r="B10" s="4">
        <f>SUM(B8:B9)</f>
        <v>169372.24</v>
      </c>
      <c r="C10" s="13"/>
    </row>
    <row r="12" spans="1:3" x14ac:dyDescent="0.2">
      <c r="A12" s="10" t="s">
        <v>9</v>
      </c>
      <c r="B12" s="11"/>
      <c r="C12" s="11"/>
    </row>
    <row r="13" spans="1:3" x14ac:dyDescent="0.2">
      <c r="A13" s="2" t="s">
        <v>44</v>
      </c>
      <c r="B13" s="3">
        <f>0.25*B3</f>
        <v>3278.25</v>
      </c>
      <c r="C13" s="17" t="s">
        <v>50</v>
      </c>
    </row>
    <row r="14" spans="1:3" x14ac:dyDescent="0.2">
      <c r="A14" s="2" t="s">
        <v>45</v>
      </c>
      <c r="B14" s="3">
        <f>0.25*B4+16900</f>
        <v>36022.722500000003</v>
      </c>
      <c r="C14" s="13" t="s">
        <v>48</v>
      </c>
    </row>
    <row r="15" spans="1:3" x14ac:dyDescent="0.2">
      <c r="A15" s="2" t="s">
        <v>46</v>
      </c>
      <c r="B15" s="3">
        <f>0.25*B8+16900*2</f>
        <v>66581.81</v>
      </c>
      <c r="C15" s="13" t="s">
        <v>48</v>
      </c>
    </row>
    <row r="16" spans="1:3" x14ac:dyDescent="0.2">
      <c r="A16" s="2" t="s">
        <v>47</v>
      </c>
      <c r="B16" s="3">
        <f>B9*0.07</f>
        <v>2677.15</v>
      </c>
      <c r="C16" s="17" t="s">
        <v>49</v>
      </c>
    </row>
    <row r="17" spans="1:3" x14ac:dyDescent="0.2">
      <c r="A17" s="7" t="s">
        <v>24</v>
      </c>
      <c r="B17" s="4">
        <f>SUM(B13:B16)</f>
        <v>108559.9325</v>
      </c>
      <c r="C17" s="13"/>
    </row>
    <row r="19" spans="1:3" x14ac:dyDescent="0.2">
      <c r="A19" s="10" t="s">
        <v>10</v>
      </c>
      <c r="B19" s="11"/>
      <c r="C19" s="11"/>
    </row>
    <row r="20" spans="1:3" x14ac:dyDescent="0.2">
      <c r="A20" s="2" t="s">
        <v>52</v>
      </c>
      <c r="B20" s="3">
        <v>6000</v>
      </c>
      <c r="C20" s="12" t="s">
        <v>57</v>
      </c>
    </row>
    <row r="21" spans="1:3" x14ac:dyDescent="0.2">
      <c r="A21" s="7" t="s">
        <v>25</v>
      </c>
      <c r="B21" s="4">
        <f>SUM(B20:B20)</f>
        <v>6000</v>
      </c>
      <c r="C21" s="13"/>
    </row>
    <row r="23" spans="1:3" x14ac:dyDescent="0.2">
      <c r="A23" s="10" t="s">
        <v>11</v>
      </c>
      <c r="B23" s="11"/>
      <c r="C23" s="11"/>
    </row>
    <row r="24" spans="1:3" x14ac:dyDescent="0.2">
      <c r="A24" s="2" t="s">
        <v>26</v>
      </c>
      <c r="B24" s="3">
        <v>0</v>
      </c>
      <c r="C24" s="13"/>
    </row>
    <row r="25" spans="1:3" x14ac:dyDescent="0.2">
      <c r="A25" s="2" t="s">
        <v>27</v>
      </c>
      <c r="B25" s="3">
        <f>2900*2</f>
        <v>5800</v>
      </c>
      <c r="C25" s="13" t="s">
        <v>59</v>
      </c>
    </row>
    <row r="26" spans="1:3" x14ac:dyDescent="0.2">
      <c r="A26" s="7" t="s">
        <v>28</v>
      </c>
      <c r="B26" s="4">
        <f>SUM(B24:B25)</f>
        <v>5800</v>
      </c>
      <c r="C26" s="13"/>
    </row>
    <row r="28" spans="1:3" x14ac:dyDescent="0.2">
      <c r="A28" s="10" t="s">
        <v>12</v>
      </c>
      <c r="B28" s="11"/>
      <c r="C28" s="11"/>
    </row>
    <row r="29" spans="1:3" x14ac:dyDescent="0.2">
      <c r="A29" s="2" t="s">
        <v>64</v>
      </c>
      <c r="B29" s="3">
        <f>400*20</f>
        <v>8000</v>
      </c>
      <c r="C29" s="13" t="s">
        <v>67</v>
      </c>
    </row>
    <row r="30" spans="1:3" x14ac:dyDescent="0.2">
      <c r="A30" s="7" t="s">
        <v>29</v>
      </c>
      <c r="B30" s="4">
        <f>SUM(B29:B29)</f>
        <v>8000</v>
      </c>
      <c r="C30" s="13"/>
    </row>
    <row r="32" spans="1:3" x14ac:dyDescent="0.2">
      <c r="A32" s="10" t="s">
        <v>13</v>
      </c>
      <c r="B32" s="11"/>
      <c r="C32" s="11"/>
    </row>
    <row r="33" spans="1:4" x14ac:dyDescent="0.2">
      <c r="A33" s="2" t="s">
        <v>32</v>
      </c>
      <c r="B33" s="3">
        <v>15000</v>
      </c>
      <c r="C33" s="18" t="s">
        <v>70</v>
      </c>
    </row>
    <row r="34" spans="1:4" x14ac:dyDescent="0.2">
      <c r="A34" s="7" t="s">
        <v>33</v>
      </c>
      <c r="B34" s="4">
        <f>SUM(B33:B33)</f>
        <v>15000</v>
      </c>
      <c r="C34" s="13"/>
    </row>
    <row r="36" spans="1:4" x14ac:dyDescent="0.2">
      <c r="A36" s="5" t="s">
        <v>34</v>
      </c>
      <c r="B36" s="6">
        <f>B5+B10+B17+B21+B26+B30+B34</f>
        <v>402336.0625</v>
      </c>
      <c r="C36" s="14"/>
    </row>
    <row r="38" spans="1:4" x14ac:dyDescent="0.2">
      <c r="A38" s="7" t="s">
        <v>71</v>
      </c>
      <c r="B38" s="4">
        <f>(B5+B10+B17)*0.24</f>
        <v>88208.654999999999</v>
      </c>
      <c r="C38" s="12" t="s">
        <v>73</v>
      </c>
      <c r="D38" s="19"/>
    </row>
    <row r="40" spans="1:4" ht="16" x14ac:dyDescent="0.2">
      <c r="A40" s="8" t="s">
        <v>35</v>
      </c>
      <c r="B40" s="9">
        <f>B36+B38</f>
        <v>490544.71750000003</v>
      </c>
      <c r="C40" s="1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workbookViewId="0">
      <pane ySplit="1" topLeftCell="A20" activePane="bottomLeft" state="frozen"/>
      <selection pane="bottomLeft" activeCell="C39" sqref="C39"/>
    </sheetView>
  </sheetViews>
  <sheetFormatPr baseColWidth="10" defaultColWidth="8.83203125" defaultRowHeight="15" x14ac:dyDescent="0.2"/>
  <cols>
    <col min="1" max="1" width="50" customWidth="1"/>
    <col min="2" max="2" width="25" customWidth="1"/>
    <col min="3" max="3" width="30" customWidth="1"/>
    <col min="4" max="4" width="11.1640625" bestFit="1" customWidth="1"/>
  </cols>
  <sheetData>
    <row r="1" spans="1:3" ht="16" x14ac:dyDescent="0.2">
      <c r="A1" s="1" t="s">
        <v>17</v>
      </c>
      <c r="B1" s="1" t="s">
        <v>39</v>
      </c>
      <c r="C1" s="1" t="s">
        <v>19</v>
      </c>
    </row>
    <row r="2" spans="1:3" x14ac:dyDescent="0.2">
      <c r="A2" s="10" t="s">
        <v>7</v>
      </c>
      <c r="B2" s="11"/>
      <c r="C2" s="11"/>
    </row>
    <row r="3" spans="1:3" x14ac:dyDescent="0.2">
      <c r="A3" s="2" t="s">
        <v>20</v>
      </c>
      <c r="B3" s="3">
        <v>13506</v>
      </c>
      <c r="C3" s="12" t="s">
        <v>21</v>
      </c>
    </row>
    <row r="4" spans="1:3" x14ac:dyDescent="0.2">
      <c r="A4" s="2" t="s">
        <v>54</v>
      </c>
      <c r="B4" s="3">
        <f>1.03*'Year 4'!B4</f>
        <v>78785.616699999999</v>
      </c>
      <c r="C4" s="12" t="s">
        <v>21</v>
      </c>
    </row>
    <row r="5" spans="1:3" x14ac:dyDescent="0.2">
      <c r="A5" s="7" t="s">
        <v>22</v>
      </c>
      <c r="B5" s="4">
        <f>SUM(B3:B4)</f>
        <v>92291.616699999999</v>
      </c>
      <c r="C5" s="13"/>
    </row>
    <row r="7" spans="1:3" x14ac:dyDescent="0.2">
      <c r="A7" s="10" t="s">
        <v>8</v>
      </c>
      <c r="B7" s="11"/>
      <c r="C7" s="11"/>
    </row>
    <row r="8" spans="1:3" x14ac:dyDescent="0.2">
      <c r="A8" s="2" t="s">
        <v>41</v>
      </c>
      <c r="B8" s="3">
        <f>'Year 4'!B8*1.03</f>
        <v>135061.05719999998</v>
      </c>
      <c r="C8" s="12" t="s">
        <v>21</v>
      </c>
    </row>
    <row r="9" spans="1:3" x14ac:dyDescent="0.2">
      <c r="A9" s="2" t="s">
        <v>42</v>
      </c>
      <c r="B9" s="3">
        <v>39393</v>
      </c>
      <c r="C9" s="12" t="s">
        <v>21</v>
      </c>
    </row>
    <row r="10" spans="1:3" x14ac:dyDescent="0.2">
      <c r="A10" s="7" t="s">
        <v>23</v>
      </c>
      <c r="B10" s="4">
        <f>SUM(B8:B9)</f>
        <v>174454.05719999998</v>
      </c>
      <c r="C10" s="13"/>
    </row>
    <row r="12" spans="1:3" x14ac:dyDescent="0.2">
      <c r="A12" s="10" t="s">
        <v>9</v>
      </c>
      <c r="B12" s="11"/>
      <c r="C12" s="11"/>
    </row>
    <row r="13" spans="1:3" x14ac:dyDescent="0.2">
      <c r="A13" s="2" t="s">
        <v>44</v>
      </c>
      <c r="B13" s="3">
        <f>0.25*B3</f>
        <v>3376.5</v>
      </c>
      <c r="C13" s="17" t="s">
        <v>50</v>
      </c>
    </row>
    <row r="14" spans="1:3" x14ac:dyDescent="0.2">
      <c r="A14" s="2" t="s">
        <v>45</v>
      </c>
      <c r="B14" s="3">
        <f>0.25*B4+16900</f>
        <v>36596.404175000003</v>
      </c>
      <c r="C14" s="13" t="s">
        <v>48</v>
      </c>
    </row>
    <row r="15" spans="1:3" x14ac:dyDescent="0.2">
      <c r="A15" s="2" t="s">
        <v>46</v>
      </c>
      <c r="B15" s="3">
        <f>0.25*B8+16900*2</f>
        <v>67565.264299999995</v>
      </c>
      <c r="C15" s="13" t="s">
        <v>48</v>
      </c>
    </row>
    <row r="16" spans="1:3" x14ac:dyDescent="0.2">
      <c r="A16" s="2" t="s">
        <v>47</v>
      </c>
      <c r="B16" s="3">
        <f>B9*0.07</f>
        <v>2757.51</v>
      </c>
      <c r="C16" s="17" t="s">
        <v>49</v>
      </c>
    </row>
    <row r="17" spans="1:3" x14ac:dyDescent="0.2">
      <c r="A17" s="7" t="s">
        <v>24</v>
      </c>
      <c r="B17" s="4">
        <f>SUM(B13:B16)</f>
        <v>110295.67847499999</v>
      </c>
      <c r="C17" s="13"/>
    </row>
    <row r="19" spans="1:3" x14ac:dyDescent="0.2">
      <c r="A19" s="10" t="s">
        <v>10</v>
      </c>
      <c r="B19" s="11"/>
      <c r="C19" s="11"/>
    </row>
    <row r="20" spans="1:3" x14ac:dyDescent="0.2">
      <c r="A20" s="2"/>
      <c r="B20" s="3">
        <v>0</v>
      </c>
      <c r="C20" s="12"/>
    </row>
    <row r="21" spans="1:3" x14ac:dyDescent="0.2">
      <c r="A21" s="7" t="s">
        <v>25</v>
      </c>
      <c r="B21" s="4">
        <f>SUM(B20:B20)</f>
        <v>0</v>
      </c>
      <c r="C21" s="13"/>
    </row>
    <row r="23" spans="1:3" x14ac:dyDescent="0.2">
      <c r="A23" s="10" t="s">
        <v>11</v>
      </c>
      <c r="B23" s="11"/>
      <c r="C23" s="11"/>
    </row>
    <row r="24" spans="1:3" x14ac:dyDescent="0.2">
      <c r="A24" s="2" t="s">
        <v>26</v>
      </c>
      <c r="B24" s="3">
        <v>0</v>
      </c>
      <c r="C24" s="13"/>
    </row>
    <row r="25" spans="1:3" x14ac:dyDescent="0.2">
      <c r="A25" s="2" t="s">
        <v>27</v>
      </c>
      <c r="B25" s="3">
        <v>0</v>
      </c>
      <c r="C25" s="13"/>
    </row>
    <row r="26" spans="1:3" x14ac:dyDescent="0.2">
      <c r="A26" s="7" t="s">
        <v>28</v>
      </c>
      <c r="B26" s="4">
        <f>SUM(B24:B25)</f>
        <v>0</v>
      </c>
      <c r="C26" s="13"/>
    </row>
    <row r="28" spans="1:3" x14ac:dyDescent="0.2">
      <c r="A28" s="10" t="s">
        <v>12</v>
      </c>
      <c r="B28" s="11"/>
      <c r="C28" s="11"/>
    </row>
    <row r="29" spans="1:3" x14ac:dyDescent="0.2">
      <c r="A29" s="2"/>
      <c r="B29" s="3">
        <v>0</v>
      </c>
      <c r="C29" s="13"/>
    </row>
    <row r="30" spans="1:3" x14ac:dyDescent="0.2">
      <c r="A30" s="7" t="s">
        <v>29</v>
      </c>
      <c r="B30" s="4">
        <f>SUM(B29:B29)</f>
        <v>0</v>
      </c>
      <c r="C30" s="13"/>
    </row>
    <row r="32" spans="1:3" x14ac:dyDescent="0.2">
      <c r="A32" s="10" t="s">
        <v>13</v>
      </c>
      <c r="B32" s="11"/>
      <c r="C32" s="11"/>
    </row>
    <row r="33" spans="1:4" x14ac:dyDescent="0.2">
      <c r="A33" s="2" t="s">
        <v>31</v>
      </c>
      <c r="B33" s="3">
        <v>2000</v>
      </c>
      <c r="C33" s="13"/>
    </row>
    <row r="34" spans="1:4" x14ac:dyDescent="0.2">
      <c r="A34" s="2" t="s">
        <v>32</v>
      </c>
      <c r="B34" s="3">
        <v>15000</v>
      </c>
      <c r="C34" s="18" t="s">
        <v>70</v>
      </c>
    </row>
    <row r="35" spans="1:4" x14ac:dyDescent="0.2">
      <c r="A35" s="7" t="s">
        <v>33</v>
      </c>
      <c r="B35" s="4">
        <f>SUM(B33:B34)</f>
        <v>17000</v>
      </c>
      <c r="C35" s="13"/>
    </row>
    <row r="37" spans="1:4" x14ac:dyDescent="0.2">
      <c r="A37" s="5" t="s">
        <v>34</v>
      </c>
      <c r="B37" s="6">
        <f>B5+B10+B17+B21+B26+B30+B35</f>
        <v>394041.35237500002</v>
      </c>
      <c r="C37" s="14"/>
    </row>
    <row r="39" spans="1:4" x14ac:dyDescent="0.2">
      <c r="A39" s="7" t="s">
        <v>71</v>
      </c>
      <c r="B39" s="4">
        <f>(B5+B10+B17)*0.24</f>
        <v>90489.924570000003</v>
      </c>
      <c r="C39" s="12" t="s">
        <v>72</v>
      </c>
      <c r="D39" s="19"/>
    </row>
    <row r="41" spans="1:4" ht="16" x14ac:dyDescent="0.2">
      <c r="A41" s="8" t="s">
        <v>35</v>
      </c>
      <c r="B41" s="9">
        <f>B37+B39</f>
        <v>484531.27694500005</v>
      </c>
      <c r="C41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Cumulative Budget</vt:lpstr>
      <vt:lpstr>Year 1</vt:lpstr>
      <vt:lpstr>Year 2</vt:lpstr>
      <vt:lpstr>Year 3</vt:lpstr>
      <vt:lpstr>Year 4</vt:lpstr>
      <vt:lpstr>Year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Wiggins</cp:lastModifiedBy>
  <dcterms:created xsi:type="dcterms:W3CDTF">2026-06-02T17:29:37Z</dcterms:created>
  <dcterms:modified xsi:type="dcterms:W3CDTF">2026-06-11T21:17:33Z</dcterms:modified>
</cp:coreProperties>
</file>